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CF Model" sheetId="2" state="visible" r:id="rId2"/>
    <sheet xmlns:r="http://schemas.openxmlformats.org/officeDocument/2006/relationships" name="Comparable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Financi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888888"/>
      <sz val="9"/>
    </font>
    <font>
      <name val="Calibri"/>
      <b val="1"/>
      <color rgb="00FFFFFF"/>
      <sz val="10"/>
    </font>
    <font>
      <name val="Calibri"/>
      <b val="1"/>
      <color rgb="00888888"/>
      <sz val="9"/>
    </font>
    <font>
      <name val="Calibri"/>
      <b val="1"/>
      <color rgb="002C3E50"/>
      <sz val="14"/>
    </font>
    <font>
      <name val="Calibri"/>
      <b val="1"/>
      <color rgb="00FFFFFF"/>
      <sz val="9"/>
    </font>
    <font>
      <name val="Calibri"/>
      <b val="1"/>
      <color rgb="00333333"/>
      <sz val="10"/>
    </font>
    <font>
      <name val="Calibri"/>
      <color rgb="00333333"/>
      <sz val="10"/>
    </font>
    <font>
      <name val="Calibri"/>
      <b val="1"/>
      <color rgb="00333333"/>
      <sz val="11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50"/>
      </patternFill>
    </fill>
    <fill>
      <patternFill patternType="solid">
        <fgColor rgb="00FFFDE7"/>
      </patternFill>
    </fill>
    <fill>
      <patternFill patternType="solid">
        <fgColor rgb="0034495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E8F5E9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bottom style="medium">
        <color rgb="001B2A4A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4" fillId="0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4" fontId="7" fillId="4" borderId="1" pivotButton="0" quotePrefix="0" xfId="0"/>
    <xf numFmtId="9" fontId="7" fillId="4" borderId="1" pivotButton="0" quotePrefix="0" xfId="0"/>
    <xf numFmtId="165" fontId="7" fillId="4" borderId="1" pivotButton="0" quotePrefix="0" xfId="0"/>
    <xf numFmtId="0" fontId="7" fillId="6" borderId="1" applyAlignment="1" pivotButton="0" quotePrefix="0" xfId="0">
      <alignment horizontal="center" vertical="center"/>
    </xf>
    <xf numFmtId="165" fontId="8" fillId="6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5" fontId="0" fillId="6" borderId="1" pivotButton="0" quotePrefix="0" xfId="0"/>
    <xf numFmtId="166" fontId="0" fillId="6" borderId="1" pivotButton="0" quotePrefix="0" xfId="0"/>
    <xf numFmtId="0" fontId="7" fillId="7" borderId="1" applyAlignment="1" pivotButton="0" quotePrefix="0" xfId="0">
      <alignment horizontal="center" vertical="center"/>
    </xf>
    <xf numFmtId="165" fontId="8" fillId="7" borderId="1" applyAlignment="1" pivotButton="0" quotePrefix="0" xfId="0">
      <alignment horizontal="center" vertical="center"/>
    </xf>
    <xf numFmtId="164" fontId="8" fillId="7" borderId="1" applyAlignment="1" pivotButton="0" quotePrefix="0" xfId="0">
      <alignment horizontal="center" vertical="center"/>
    </xf>
    <xf numFmtId="165" fontId="0" fillId="7" borderId="1" pivotButton="0" quotePrefix="0" xfId="0"/>
    <xf numFmtId="166" fontId="0" fillId="7" borderId="1" pivotButton="0" quotePrefix="0" xfId="0"/>
    <xf numFmtId="165" fontId="8" fillId="0" borderId="1" pivotButton="0" quotePrefix="0" xfId="0"/>
    <xf numFmtId="0" fontId="8" fillId="0" borderId="6" applyAlignment="1" pivotButton="0" quotePrefix="0" xfId="0">
      <alignment horizontal="left" vertical="center" indent="1"/>
    </xf>
    <xf numFmtId="165" fontId="8" fillId="0" borderId="6" pivotButton="0" quotePrefix="0" xfId="0"/>
    <xf numFmtId="0" fontId="7" fillId="8" borderId="0" applyAlignment="1" pivotButton="0" quotePrefix="0" xfId="0">
      <alignment horizontal="left" vertical="center" indent="1"/>
    </xf>
    <xf numFmtId="165" fontId="9" fillId="8" borderId="1" pivotButton="0" quotePrefix="0" xfId="0"/>
    <xf numFmtId="0" fontId="6" fillId="3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0" customWidth="1" min="5" max="5"/>
  </cols>
  <sheetData>
    <row r="1" ht="34" customHeight="1">
      <c r="A1" s="1" t="inlineStr">
        <is>
          <t xml:space="preserve">  Sézane  —  Gold Roger Dashboard</t>
        </is>
      </c>
    </row>
    <row r="2">
      <c r="A2" s="2" t="inlineStr">
        <is>
          <t xml:space="preserve">Generated: April 29, 2026   |   Sector: Fashion and Apparel   |   </t>
        </is>
      </c>
    </row>
    <row r="4" ht="20" customHeight="1">
      <c r="A4" s="3" t="inlineStr">
        <is>
          <t>RECOMMENDATION</t>
        </is>
      </c>
    </row>
    <row r="5">
      <c r="A5" s="4" t="inlineStr">
        <is>
          <t>Recommendation</t>
        </is>
      </c>
      <c r="B5" s="4" t="inlineStr">
        <is>
          <t>Target Value</t>
        </is>
      </c>
      <c r="C5" s="4" t="inlineStr">
        <is>
          <t>Upside / Downside</t>
        </is>
      </c>
      <c r="D5" s="4" t="inlineStr">
        <is>
          <t>Current Price</t>
        </is>
      </c>
    </row>
    <row r="6" ht="32" customHeight="1">
      <c r="A6" s="5" t="inlineStr">
        <is>
          <t>N/A</t>
        </is>
      </c>
      <c r="B6" s="5" t="inlineStr">
        <is>
          <t>N/A</t>
        </is>
      </c>
      <c r="C6" s="5" t="inlineStr">
        <is>
          <t>N/A</t>
        </is>
      </c>
      <c r="D6" s="5" t="inlineStr">
        <is>
          <t>N/A</t>
        </is>
      </c>
    </row>
    <row r="8" ht="20" customHeight="1">
      <c r="A8" s="3" t="inlineStr">
        <is>
          <t>KEY FINANCIALS</t>
        </is>
      </c>
    </row>
    <row r="9" ht="18" customHeight="1">
      <c r="A9" s="6" t="inlineStr">
        <is>
          <t>Metric</t>
        </is>
      </c>
      <c r="B9" s="6" t="inlineStr">
        <is>
          <t>Value</t>
        </is>
      </c>
      <c r="C9" s="6" t="inlineStr">
        <is>
          <t>Metric</t>
        </is>
      </c>
      <c r="D9" s="6" t="inlineStr">
        <is>
          <t>Value</t>
        </is>
      </c>
    </row>
    <row r="10">
      <c r="A10" s="7" t="inlineStr">
        <is>
          <t>Revenue</t>
        </is>
      </c>
      <c r="B10" s="8" t="inlineStr">
        <is>
          <t>0.0</t>
        </is>
      </c>
      <c r="C10" s="7" t="inlineStr">
        <is>
          <t>Revenue Growth</t>
        </is>
      </c>
      <c r="D10" s="8" t="inlineStr">
        <is>
          <t>N/A</t>
        </is>
      </c>
    </row>
    <row r="11">
      <c r="A11" s="9" t="inlineStr">
        <is>
          <t>Gross Margin</t>
        </is>
      </c>
      <c r="B11" s="10" t="inlineStr">
        <is>
          <t>0.0</t>
        </is>
      </c>
      <c r="C11" s="9" t="inlineStr">
        <is>
          <t>EBITDA Margin</t>
        </is>
      </c>
      <c r="D11" s="10" t="inlineStr">
        <is>
          <t>0.0</t>
        </is>
      </c>
    </row>
    <row r="12">
      <c r="A12" s="7" t="inlineStr">
        <is>
          <t>Net Margin</t>
        </is>
      </c>
      <c r="B12" s="8" t="inlineStr">
        <is>
          <t>0.0</t>
        </is>
      </c>
      <c r="C12" s="7" t="inlineStr">
        <is>
          <t>Free Cash Flow</t>
        </is>
      </c>
      <c r="D12" s="8" t="inlineStr">
        <is>
          <t>0.0</t>
        </is>
      </c>
    </row>
    <row r="13">
      <c r="A13" s="9" t="inlineStr">
        <is>
          <t>TAM</t>
        </is>
      </c>
      <c r="B13" s="10" t="inlineStr">
        <is>
          <t>Data not publicly available</t>
        </is>
      </c>
      <c r="C13" s="9" t="inlineStr">
        <is>
          <t>Market CAGR</t>
        </is>
      </c>
      <c r="D13" s="10" t="inlineStr">
        <is>
          <t>Data not publicly available</t>
        </is>
      </c>
    </row>
    <row r="15" ht="20" customHeight="1">
      <c r="A15" s="3" t="inlineStr">
        <is>
          <t>MARKET CONTEXT</t>
        </is>
      </c>
    </row>
    <row r="16" ht="18" customHeight="1">
      <c r="A16" s="6" t="inlineStr"/>
      <c r="B16" s="6" t="inlineStr">
        <is>
          <t>Detail</t>
        </is>
      </c>
    </row>
    <row r="17">
      <c r="A17" s="7" t="inlineStr">
        <is>
          <t>Market Segment</t>
        </is>
      </c>
      <c r="B17" s="8" t="inlineStr">
        <is>
          <t>premium ethical women's ready-to-wear, accessories, and leather goods</t>
        </is>
      </c>
      <c r="C17" s="11" t="n"/>
      <c r="D17" s="11" t="n"/>
      <c r="E17" s="12" t="n"/>
    </row>
    <row r="18">
      <c r="A18" s="9" t="inlineStr">
        <is>
          <t>Company Share</t>
        </is>
      </c>
      <c r="B18" s="10" t="inlineStr">
        <is>
          <t>Estimated &lt;1% of the broader premium women's fashion market; niche leader in ethical French ready-to-wear and accessories</t>
        </is>
      </c>
      <c r="C18" s="11" t="n"/>
      <c r="D18" s="11" t="n"/>
      <c r="E18" s="12" t="n"/>
    </row>
    <row r="19">
      <c r="A19" s="7" t="inlineStr">
        <is>
          <t>Top Competitor</t>
        </is>
      </c>
      <c r="B19" s="8" t="inlineStr">
        <is>
          <t>A.P.C.</t>
        </is>
      </c>
      <c r="C19" s="11" t="n"/>
      <c r="D19" s="11" t="n"/>
      <c r="E19" s="12" t="n"/>
    </row>
  </sheetData>
  <mergeCells count="8">
    <mergeCell ref="B17:E17"/>
    <mergeCell ref="B18:E18"/>
    <mergeCell ref="A4:E4"/>
    <mergeCell ref="A2:E2"/>
    <mergeCell ref="A15:E15"/>
    <mergeCell ref="A1:E1"/>
    <mergeCell ref="B19:E19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</cols>
  <sheetData>
    <row r="1" ht="34" customHeight="1">
      <c r="A1" s="1" t="inlineStr">
        <is>
          <t xml:space="preserve">  Sézane  —  DCF Valuation Model  (dynamic)</t>
        </is>
      </c>
    </row>
    <row r="2">
      <c r="A2" s="13" t="inlineStr">
        <is>
          <t>Generated: April 29, 2026   |   All values in $M</t>
        </is>
      </c>
    </row>
    <row r="4" ht="20" customHeight="1">
      <c r="A4" s="3" t="inlineStr">
        <is>
          <t>ASSUMPTIONS  (edit yellow cells to recalculate)</t>
        </is>
      </c>
    </row>
    <row r="5" ht="18" customHeight="1">
      <c r="A5" s="14" t="inlineStr">
        <is>
          <t>WACC</t>
        </is>
      </c>
      <c r="B5" s="15" t="n">
        <v>0.1</v>
      </c>
      <c r="C5" s="2" t="inlineStr">
        <is>
          <t>Weighted Average Cost of Capital</t>
        </is>
      </c>
    </row>
    <row r="6" ht="18" customHeight="1">
      <c r="A6" s="14" t="inlineStr">
        <is>
          <t>Terminal Growth Rate</t>
        </is>
      </c>
      <c r="B6" s="15" t="n">
        <v>0.02</v>
      </c>
      <c r="C6" s="2" t="inlineStr">
        <is>
          <t>Gordon Growth terminal rate</t>
        </is>
      </c>
    </row>
    <row r="7" ht="18" customHeight="1">
      <c r="A7" s="14" t="inlineStr">
        <is>
          <t>FCF / EBITDA Conversion</t>
        </is>
      </c>
      <c r="B7" s="16" t="n">
        <v>0.7</v>
      </c>
      <c r="C7" s="2" t="inlineStr">
        <is>
          <t>Assumed FCF = 70% of EBITDA</t>
        </is>
      </c>
    </row>
    <row r="8" ht="18" customHeight="1">
      <c r="A8" s="14" t="inlineStr">
        <is>
          <t>Net Debt ($M)</t>
        </is>
      </c>
      <c r="B8" s="17" t="n">
        <v>0</v>
      </c>
      <c r="C8" s="2" t="inlineStr">
        <is>
          <t>Total debt minus cash</t>
        </is>
      </c>
    </row>
    <row r="9" ht="20" customHeight="1">
      <c r="A9" s="3" t="inlineStr">
        <is>
          <t>REVENUE &amp; CASH FLOW PROJECTIONS</t>
        </is>
      </c>
    </row>
    <row r="10" ht="18" customHeight="1">
      <c r="A10" s="6" t="inlineStr">
        <is>
          <t>Year</t>
        </is>
      </c>
      <c r="B10" s="6" t="inlineStr">
        <is>
          <t>Revenue ($M)</t>
        </is>
      </c>
      <c r="C10" s="6" t="inlineStr">
        <is>
          <t>Growth %</t>
        </is>
      </c>
      <c r="D10" s="6" t="inlineStr">
        <is>
          <t>EBITDA Margin</t>
        </is>
      </c>
      <c r="E10" s="6" t="inlineStr">
        <is>
          <t>EBITDA ($M)</t>
        </is>
      </c>
      <c r="F10" s="6" t="inlineStr">
        <is>
          <t>FCF ($M)</t>
        </is>
      </c>
      <c r="G10" s="6" t="inlineStr">
        <is>
          <t>Disc. Factor</t>
        </is>
      </c>
      <c r="H10" s="6" t="inlineStr">
        <is>
          <t>PV of FCF ($M)</t>
        </is>
      </c>
    </row>
    <row r="11">
      <c r="A11" s="18" t="n">
        <v>2026</v>
      </c>
      <c r="B11" s="19" t="n">
        <v>1120</v>
      </c>
      <c r="C11" s="8" t="inlineStr">
        <is>
          <t>—</t>
        </is>
      </c>
      <c r="D11" s="20" t="n">
        <v>0.15</v>
      </c>
      <c r="E11" s="21">
        <f>B11*D11</f>
        <v/>
      </c>
      <c r="F11" s="21">
        <f>E11*$B$7</f>
        <v/>
      </c>
      <c r="G11" s="22">
        <f>1/(1+$B$5)^1</f>
        <v/>
      </c>
      <c r="H11" s="21">
        <f>F11*G11</f>
        <v/>
      </c>
    </row>
    <row r="12">
      <c r="A12" s="23" t="n">
        <v>2027</v>
      </c>
      <c r="B12" s="24" t="n">
        <v>1232</v>
      </c>
      <c r="C12" s="10" t="inlineStr">
        <is>
          <t>—</t>
        </is>
      </c>
      <c r="D12" s="25" t="n">
        <v>0.15</v>
      </c>
      <c r="E12" s="26">
        <f>B12*D12</f>
        <v/>
      </c>
      <c r="F12" s="26">
        <f>E12*$B$7</f>
        <v/>
      </c>
      <c r="G12" s="27">
        <f>1/(1+$B$5)^2</f>
        <v/>
      </c>
      <c r="H12" s="26">
        <f>F12*G12</f>
        <v/>
      </c>
    </row>
    <row r="13">
      <c r="A13" s="18" t="n">
        <v>2028</v>
      </c>
      <c r="B13" s="19" t="n">
        <v>1355.2</v>
      </c>
      <c r="C13" s="8" t="inlineStr">
        <is>
          <t>—</t>
        </is>
      </c>
      <c r="D13" s="20" t="n">
        <v>0.15</v>
      </c>
      <c r="E13" s="21">
        <f>B13*D13</f>
        <v/>
      </c>
      <c r="F13" s="21">
        <f>E13*$B$7</f>
        <v/>
      </c>
      <c r="G13" s="22">
        <f>1/(1+$B$5)^3</f>
        <v/>
      </c>
      <c r="H13" s="21">
        <f>F13*G13</f>
        <v/>
      </c>
    </row>
    <row r="14">
      <c r="A14" s="23" t="n">
        <v>2029</v>
      </c>
      <c r="B14" s="24" t="n">
        <v>1490.72</v>
      </c>
      <c r="C14" s="10" t="inlineStr">
        <is>
          <t>—</t>
        </is>
      </c>
      <c r="D14" s="25" t="n">
        <v>0.15</v>
      </c>
      <c r="E14" s="26">
        <f>B14*D14</f>
        <v/>
      </c>
      <c r="F14" s="26">
        <f>E14*$B$7</f>
        <v/>
      </c>
      <c r="G14" s="27">
        <f>1/(1+$B$5)^4</f>
        <v/>
      </c>
      <c r="H14" s="26">
        <f>F14*G14</f>
        <v/>
      </c>
    </row>
    <row r="15">
      <c r="A15" s="18" t="n">
        <v>2030</v>
      </c>
      <c r="B15" s="19" t="n">
        <v>1639.792</v>
      </c>
      <c r="C15" s="8" t="inlineStr">
        <is>
          <t>—</t>
        </is>
      </c>
      <c r="D15" s="20" t="n">
        <v>0.15</v>
      </c>
      <c r="E15" s="21">
        <f>B15*D15</f>
        <v/>
      </c>
      <c r="F15" s="21">
        <f>E15*$B$7</f>
        <v/>
      </c>
      <c r="G15" s="22">
        <f>1/(1+$B$5)^5</f>
        <v/>
      </c>
      <c r="H15" s="21">
        <f>F15*G15</f>
        <v/>
      </c>
    </row>
    <row r="17" ht="20" customHeight="1">
      <c r="A17" s="3" t="inlineStr">
        <is>
          <t>DCF VALUATION SUMMARY</t>
        </is>
      </c>
    </row>
    <row r="18" ht="18" customHeight="1">
      <c r="A18" s="14" t="inlineStr">
        <is>
          <t>Sum of PV FCFs ($M)</t>
        </is>
      </c>
      <c r="B18" s="28">
        <f>SUM(H11:H15)</f>
        <v/>
      </c>
    </row>
    <row r="19" ht="18" customHeight="1">
      <c r="A19" s="14" t="inlineStr">
        <is>
          <t>Terminal Value ($M)</t>
        </is>
      </c>
      <c r="B19" s="28">
        <f>F15*(1+$B$6)/MAX($B$5-$B$6,0.001)</f>
        <v/>
      </c>
    </row>
    <row r="20" ht="18" customHeight="1">
      <c r="A20" s="14" t="inlineStr">
        <is>
          <t>PV of Terminal Value ($M)</t>
        </is>
      </c>
      <c r="B20" s="28">
        <f>B19/(1+$B$5)^5</f>
        <v/>
      </c>
    </row>
    <row r="21" ht="18" customHeight="1">
      <c r="A21" s="14" t="inlineStr">
        <is>
          <t>Enterprise Value ($M)</t>
        </is>
      </c>
      <c r="B21" s="28">
        <f>B18+B20</f>
        <v/>
      </c>
    </row>
    <row r="22" ht="18" customHeight="1">
      <c r="A22" s="29" t="inlineStr">
        <is>
          <t>Less: Net Debt ($M)</t>
        </is>
      </c>
      <c r="B22" s="30">
        <f>$B$8</f>
        <v/>
      </c>
    </row>
    <row r="23" ht="18" customHeight="1">
      <c r="A23" s="31" t="inlineStr">
        <is>
          <t>Equity Value ($M)</t>
        </is>
      </c>
      <c r="B23" s="32">
        <f>B21-B22</f>
        <v/>
      </c>
    </row>
  </sheetData>
  <mergeCells count="5">
    <mergeCell ref="A9:H9"/>
    <mergeCell ref="A2:H2"/>
    <mergeCell ref="A1:H1"/>
    <mergeCell ref="A4:C4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0" customWidth="1" min="7" max="7"/>
  </cols>
  <sheetData>
    <row r="1" ht="34" customHeight="1">
      <c r="A1" s="1" t="inlineStr">
        <is>
          <t xml:space="preserve">  Sézane  —  Comparable Company Analysis</t>
        </is>
      </c>
    </row>
    <row r="3" ht="20" customHeight="1">
      <c r="A3" s="3" t="inlineStr">
        <is>
          <t>TRADING COMPS — VALUATION METHODS</t>
        </is>
      </c>
    </row>
    <row r="4" ht="18" customHeight="1">
      <c r="A4" s="6" t="inlineStr">
        <is>
          <t>Method</t>
        </is>
      </c>
      <c r="B4" s="6" t="inlineStr">
        <is>
          <t>Low</t>
        </is>
      </c>
      <c r="C4" s="6" t="inlineStr">
        <is>
          <t>Mid</t>
        </is>
      </c>
      <c r="D4" s="6" t="inlineStr">
        <is>
          <t>High</t>
        </is>
      </c>
      <c r="E4" s="6" t="inlineStr">
        <is>
          <t>Weight</t>
        </is>
      </c>
      <c r="F4" s="6" t="inlineStr">
        <is>
          <t>vs. Current</t>
        </is>
      </c>
      <c r="G4" s="6" t="inlineStr">
        <is>
          <t>Notes</t>
        </is>
      </c>
    </row>
    <row r="10" ht="20" customHeight="1">
      <c r="A10" s="3" t="inlineStr">
        <is>
          <t>DCF ASSUMPTIONS</t>
        </is>
      </c>
    </row>
    <row r="11" ht="18" customHeight="1">
      <c r="A11" s="6" t="inlineStr">
        <is>
          <t>Parameter</t>
        </is>
      </c>
      <c r="B11" s="6" t="inlineStr">
        <is>
          <t>Value</t>
        </is>
      </c>
    </row>
    <row r="12">
      <c r="A12" s="7" t="inlineStr">
        <is>
          <t>WACC</t>
        </is>
      </c>
      <c r="B12" s="8" t="inlineStr">
        <is>
          <t>10.00%</t>
        </is>
      </c>
      <c r="C12" s="11" t="n"/>
      <c r="D12" s="11" t="n"/>
      <c r="E12" s="11" t="n"/>
      <c r="F12" s="11" t="n"/>
      <c r="G12" s="12" t="n"/>
    </row>
    <row r="13">
      <c r="A13" s="9" t="inlineStr">
        <is>
          <t>Terminal Growth Rate</t>
        </is>
      </c>
      <c r="B13" s="10" t="inlineStr">
        <is>
          <t>2.00%</t>
        </is>
      </c>
      <c r="C13" s="11" t="n"/>
      <c r="D13" s="11" t="n"/>
      <c r="E13" s="11" t="n"/>
      <c r="F13" s="11" t="n"/>
      <c r="G13" s="12" t="n"/>
    </row>
    <row r="14">
      <c r="A14" s="7" t="inlineStr">
        <is>
          <t>Projection Horizon</t>
        </is>
      </c>
      <c r="B14" s="8" t="inlineStr">
        <is>
          <t>5 years</t>
        </is>
      </c>
      <c r="C14" s="11" t="n"/>
      <c r="D14" s="11" t="n"/>
      <c r="E14" s="11" t="n"/>
      <c r="F14" s="11" t="n"/>
      <c r="G14" s="12" t="n"/>
    </row>
    <row r="22" ht="20" customHeight="1">
      <c r="A22" s="3" t="inlineStr">
        <is>
          <t>COMPETITIVE LANDSCAPE</t>
        </is>
      </c>
    </row>
    <row r="23" ht="18" customHeight="1">
      <c r="A23" s="6" t="inlineStr">
        <is>
          <t>Company</t>
        </is>
      </c>
      <c r="B23" s="6" t="inlineStr">
        <is>
          <t>Est. Market Share</t>
        </is>
      </c>
      <c r="C23" s="6" t="inlineStr">
        <is>
          <t>Notes</t>
        </is>
      </c>
    </row>
    <row r="24">
      <c r="A24" s="7" t="inlineStr">
        <is>
          <t>A.P.C.</t>
        </is>
      </c>
      <c r="B24" s="8" t="inlineStr">
        <is>
          <t>Estimated &lt;5%</t>
        </is>
      </c>
      <c r="C24" s="8" t="inlineStr"/>
      <c r="D24" s="11" t="n"/>
      <c r="E24" s="11" t="n"/>
      <c r="F24" s="11" t="n"/>
      <c r="G24" s="12" t="n"/>
    </row>
    <row r="25">
      <c r="A25" s="9" t="inlineStr">
        <is>
          <t>Isabel Marant</t>
        </is>
      </c>
      <c r="B25" s="10" t="inlineStr">
        <is>
          <t>Estimated &lt;5%</t>
        </is>
      </c>
      <c r="C25" s="10" t="inlineStr"/>
      <c r="D25" s="11" t="n"/>
      <c r="E25" s="11" t="n"/>
      <c r="F25" s="11" t="n"/>
      <c r="G25" s="12" t="n"/>
    </row>
    <row r="26">
      <c r="A26" s="7" t="inlineStr">
        <is>
          <t>Ba&amp;sh</t>
        </is>
      </c>
      <c r="B26" s="8" t="inlineStr">
        <is>
          <t>Estimated &lt;5%</t>
        </is>
      </c>
      <c r="C26" s="8" t="inlineStr"/>
      <c r="D26" s="11" t="n"/>
      <c r="E26" s="11" t="n"/>
      <c r="F26" s="11" t="n"/>
      <c r="G26" s="12" t="n"/>
    </row>
    <row r="27">
      <c r="A27" s="9" t="inlineStr">
        <is>
          <t>Sandro</t>
        </is>
      </c>
      <c r="B27" s="10" t="inlineStr">
        <is>
          <t>Estimated &lt;5%</t>
        </is>
      </c>
      <c r="C27" s="10" t="inlineStr"/>
      <c r="D27" s="11" t="n"/>
      <c r="E27" s="11" t="n"/>
      <c r="F27" s="11" t="n"/>
      <c r="G27" s="12" t="n"/>
    </row>
    <row r="28">
      <c r="A28" s="7" t="inlineStr">
        <is>
          <t>The Kooples</t>
        </is>
      </c>
      <c r="B28" s="8" t="inlineStr">
        <is>
          <t>Estimated &lt;5%</t>
        </is>
      </c>
      <c r="C28" s="8" t="inlineStr"/>
      <c r="D28" s="11" t="n"/>
      <c r="E28" s="11" t="n"/>
      <c r="F28" s="11" t="n"/>
      <c r="G28" s="12" t="n"/>
    </row>
    <row r="29">
      <c r="A29" s="9" t="inlineStr">
        <is>
          <t>Veja</t>
        </is>
      </c>
      <c r="B29" s="10" t="inlineStr">
        <is>
          <t>Estimated &lt;5%</t>
        </is>
      </c>
      <c r="C29" s="10" t="inlineStr"/>
      <c r="D29" s="11" t="n"/>
      <c r="E29" s="11" t="n"/>
      <c r="F29" s="11" t="n"/>
      <c r="G29" s="12" t="n"/>
    </row>
    <row r="30">
      <c r="A30" s="7" t="inlineStr">
        <is>
          <t>Rejina Pyo</t>
        </is>
      </c>
      <c r="B30" s="8" t="inlineStr">
        <is>
          <t>Estimated &lt;3%</t>
        </is>
      </c>
      <c r="C30" s="8" t="inlineStr"/>
      <c r="D30" s="11" t="n"/>
      <c r="E30" s="11" t="n"/>
      <c r="F30" s="11" t="n"/>
      <c r="G30" s="12" t="n"/>
    </row>
    <row r="31">
      <c r="A31" s="9" t="inlineStr">
        <is>
          <t>Armedangels</t>
        </is>
      </c>
      <c r="B31" s="10" t="inlineStr">
        <is>
          <t>Estimated &lt;3%</t>
        </is>
      </c>
      <c r="C31" s="10" t="inlineStr"/>
      <c r="D31" s="11" t="n"/>
      <c r="E31" s="11" t="n"/>
      <c r="F31" s="11" t="n"/>
      <c r="G31" s="12" t="n"/>
    </row>
  </sheetData>
  <mergeCells count="15">
    <mergeCell ref="C29:G29"/>
    <mergeCell ref="C30:G30"/>
    <mergeCell ref="A1:G1"/>
    <mergeCell ref="B14:G14"/>
    <mergeCell ref="A3:G3"/>
    <mergeCell ref="C24:G24"/>
    <mergeCell ref="A22:G22"/>
    <mergeCell ref="C25:G25"/>
    <mergeCell ref="C28:G28"/>
    <mergeCell ref="C27:G27"/>
    <mergeCell ref="B12:G12"/>
    <mergeCell ref="B13:G13"/>
    <mergeCell ref="C31:G31"/>
    <mergeCell ref="A10:G10"/>
    <mergeCell ref="C26:G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4" customHeight="1">
      <c r="A1" s="1" t="inlineStr">
        <is>
          <t xml:space="preserve">  Sézane  —  Sensitivity: Equity Value ($M) by WACC × Terminal Growth</t>
        </is>
      </c>
    </row>
    <row r="2">
      <c r="A2" s="13" t="inlineStr">
        <is>
          <t>Green = higher equity value   |   Red = lower equity value</t>
        </is>
      </c>
    </row>
    <row r="4">
      <c r="A4" s="33" t="inlineStr">
        <is>
          <t>WACC \ TGR →</t>
        </is>
      </c>
      <c r="B4" s="34" t="inlineStr">
        <is>
          <t>1%</t>
        </is>
      </c>
      <c r="C4" s="34" t="inlineStr">
        <is>
          <t>2%</t>
        </is>
      </c>
      <c r="D4" s="34" t="inlineStr">
        <is>
          <t>3%</t>
        </is>
      </c>
      <c r="E4" s="34" t="inlineStr">
        <is>
          <t>4%</t>
        </is>
      </c>
      <c r="F4" s="34" t="inlineStr">
        <is>
          <t>5%</t>
        </is>
      </c>
    </row>
    <row r="5" ht="20" customHeight="1">
      <c r="A5" s="34" t="inlineStr">
        <is>
          <t>7%</t>
        </is>
      </c>
      <c r="B5" s="35" t="n">
        <v>2600</v>
      </c>
      <c r="C5" s="35" t="n">
        <v>3030</v>
      </c>
      <c r="D5" s="35" t="n">
        <v>3675</v>
      </c>
      <c r="E5" s="35" t="n">
        <v>4751</v>
      </c>
      <c r="F5" s="35" t="n">
        <v>6901</v>
      </c>
    </row>
    <row r="6" ht="20" customHeight="1">
      <c r="A6" s="34" t="inlineStr">
        <is>
          <t>8%</t>
        </is>
      </c>
      <c r="B6" s="35" t="n">
        <v>2215</v>
      </c>
      <c r="C6" s="35" t="n">
        <v>2511</v>
      </c>
      <c r="D6" s="35" t="n">
        <v>2926</v>
      </c>
      <c r="E6" s="35" t="n">
        <v>3547</v>
      </c>
      <c r="F6" s="35" t="n">
        <v>4583</v>
      </c>
    </row>
    <row r="7" ht="20" customHeight="1">
      <c r="A7" s="34" t="inlineStr">
        <is>
          <t>9%</t>
        </is>
      </c>
      <c r="B7" s="35" t="n">
        <v>1927</v>
      </c>
      <c r="C7" s="35" t="n">
        <v>2141</v>
      </c>
      <c r="D7" s="35" t="n">
        <v>2426</v>
      </c>
      <c r="E7" s="35" t="n">
        <v>2826</v>
      </c>
      <c r="F7" s="35" t="n">
        <v>3425</v>
      </c>
    </row>
    <row r="8" ht="20" customHeight="1">
      <c r="A8" s="34" t="inlineStr">
        <is>
          <t>10%</t>
        </is>
      </c>
      <c r="B8" s="35" t="n">
        <v>1703</v>
      </c>
      <c r="C8" s="36" t="n">
        <v>1864</v>
      </c>
      <c r="D8" s="35" t="n">
        <v>2070</v>
      </c>
      <c r="E8" s="35" t="n">
        <v>2345</v>
      </c>
      <c r="F8" s="35" t="n">
        <v>2730</v>
      </c>
    </row>
    <row r="9" ht="20" customHeight="1">
      <c r="A9" s="34" t="inlineStr">
        <is>
          <t>11%</t>
        </is>
      </c>
      <c r="B9" s="35" t="n">
        <v>1525</v>
      </c>
      <c r="C9" s="35" t="n">
        <v>1648</v>
      </c>
      <c r="D9" s="35" t="n">
        <v>1803</v>
      </c>
      <c r="E9" s="35" t="n">
        <v>2002</v>
      </c>
      <c r="F9" s="35" t="n">
        <v>2267</v>
      </c>
    </row>
    <row r="10" ht="20" customHeight="1">
      <c r="A10" s="34" t="inlineStr">
        <is>
          <t>12%</t>
        </is>
      </c>
      <c r="B10" s="35" t="n">
        <v>1379</v>
      </c>
      <c r="C10" s="35" t="n">
        <v>1476</v>
      </c>
      <c r="D10" s="35" t="n">
        <v>1596</v>
      </c>
      <c r="E10" s="35" t="n">
        <v>1745</v>
      </c>
      <c r="F10" s="35" t="n">
        <v>1937</v>
      </c>
    </row>
    <row r="11" ht="20" customHeight="1">
      <c r="A11" s="34" t="inlineStr">
        <is>
          <t>13%</t>
        </is>
      </c>
      <c r="B11" s="35" t="n">
        <v>1257</v>
      </c>
      <c r="C11" s="35" t="n">
        <v>1336</v>
      </c>
      <c r="D11" s="35" t="n">
        <v>1430</v>
      </c>
      <c r="E11" s="35" t="n">
        <v>1545</v>
      </c>
      <c r="F11" s="35" t="n">
        <v>1689</v>
      </c>
    </row>
    <row r="14">
      <c r="A14" s="13" t="inlineStr">
        <is>
          <t>Yellow cell = base case assumptions from DCF Model sheet.  Values are equity value ($M) = PV(FCFs) + PV(Terminal Value) − Net Debt.</t>
        </is>
      </c>
    </row>
  </sheetData>
  <mergeCells count="3">
    <mergeCell ref="A14:H14"/>
    <mergeCell ref="A2:H2"/>
    <mergeCell ref="A1:H1"/>
  </mergeCells>
  <conditionalFormatting sqref="B5:F11">
    <cfRule type="colorScale" priority="1">
      <colorScale>
        <cfvo type="min"/>
        <cfvo type="percentile" val="50"/>
        <cfvo type="max"/>
        <color rgb="00FFCDD2"/>
        <color rgb="00FFFFFF"/>
        <color rgb="00C8E6C9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4" customHeight="1">
      <c r="A1" s="1" t="inlineStr">
        <is>
          <t xml:space="preserve">  Sézane  —  Financial Summary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2026-04-28T22:57:53Z</dcterms:created>
  <dcterms:modified xmlns:dcterms="http://purl.org/dc/terms/" xmlns:xsi="http://www.w3.org/2001/XMLSchema-instance" xsi:type="dcterms:W3CDTF">2026-04-28T22:57:53Z</dcterms:modified>
</cp:coreProperties>
</file>